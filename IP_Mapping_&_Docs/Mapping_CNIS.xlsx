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4"/>
    <sheet state="visible" name="L3SW-Router" sheetId="2" r:id="rId5"/>
    <sheet state="visible" name="Inter-router" sheetId="3" r:id="rId6"/>
  </sheets>
  <definedNames/>
  <calcPr/>
  <extLst>
    <ext uri="GoogleSheetsCustomDataVersion2">
      <go:sheetsCustomData xmlns:go="http://customooxmlschemas.google.com/" r:id="rId7" roundtripDataChecksum="HNQLBJ99ntnh0X4FvF8QaC+pXK7nd+hWldzgFDxxAGw="/>
    </ext>
  </extLst>
</workbook>
</file>

<file path=xl/sharedStrings.xml><?xml version="1.0" encoding="utf-8"?>
<sst xmlns="http://schemas.openxmlformats.org/spreadsheetml/2006/main" count="251" uniqueCount="185">
  <si>
    <t>(tabel mapping baru)</t>
  </si>
  <si>
    <t>Bulding</t>
  </si>
  <si>
    <t>Floor</t>
  </si>
  <si>
    <t>Number of Hosts</t>
  </si>
  <si>
    <t>Hosts + 30%</t>
  </si>
  <si>
    <t>Network Address</t>
  </si>
  <si>
    <t>Default Gateway</t>
  </si>
  <si>
    <t xml:space="preserve">Usable IP </t>
  </si>
  <si>
    <t>Broadcast Address</t>
  </si>
  <si>
    <t>Total Usable IP</t>
  </si>
  <si>
    <t>Subnet Mask</t>
  </si>
  <si>
    <t>Summary subnet mask</t>
  </si>
  <si>
    <t>Wildcard</t>
  </si>
  <si>
    <t>OSPF Area</t>
  </si>
  <si>
    <t>VLAN</t>
  </si>
  <si>
    <t>VLAN Name</t>
  </si>
  <si>
    <t>Hostname L2 Access Switch</t>
  </si>
  <si>
    <t>L3 Switch Port for L2 Switch Uplink (g0/1)</t>
  </si>
  <si>
    <t>Unused L3 Switch ports</t>
  </si>
  <si>
    <t>Amount of L2 Switch</t>
  </si>
  <si>
    <t>Total L2 switch ports available</t>
  </si>
  <si>
    <t>Unused L2 Switch ports</t>
  </si>
  <si>
    <t>From</t>
  </si>
  <si>
    <t>To</t>
  </si>
  <si>
    <t>A</t>
  </si>
  <si>
    <t>172.16.10.0</t>
  </si>
  <si>
    <t>172.16.10.1</t>
  </si>
  <si>
    <t>172.16.10.1 - 172.16.10.126</t>
  </si>
  <si>
    <t>172.16.10.127</t>
  </si>
  <si>
    <t>255.255.254.0</t>
  </si>
  <si>
    <t>0.0.0.127</t>
  </si>
  <si>
    <t>BAF1</t>
  </si>
  <si>
    <t>SW-A-F1-1</t>
  </si>
  <si>
    <t>SW-A-F1-3</t>
  </si>
  <si>
    <t>g1/0/1</t>
  </si>
  <si>
    <t>g1/0/3</t>
  </si>
  <si>
    <t>172.16.10.128</t>
  </si>
  <si>
    <t>172.16.10.129</t>
  </si>
  <si>
    <t>172.16.10.129 - 172.16.10.254</t>
  </si>
  <si>
    <t>172.16.10.255</t>
  </si>
  <si>
    <t>BAF2</t>
  </si>
  <si>
    <t>SW-A-F2-4</t>
  </si>
  <si>
    <t>SW-A-F2-7</t>
  </si>
  <si>
    <t>g1/0/4</t>
  </si>
  <si>
    <t>g1/0/7</t>
  </si>
  <si>
    <t>172.16.11.0</t>
  </si>
  <si>
    <t>172.16.11.1</t>
  </si>
  <si>
    <t>172.16.11.1 - 172.16.11.62</t>
  </si>
  <si>
    <t>172.16.11.63</t>
  </si>
  <si>
    <t>0.0.0.63</t>
  </si>
  <si>
    <t>BAF3</t>
  </si>
  <si>
    <t>SW-A-F3-8</t>
  </si>
  <si>
    <t>SW-A-F3-9</t>
  </si>
  <si>
    <t>g1/0/8</t>
  </si>
  <si>
    <t>g1/0/9</t>
  </si>
  <si>
    <t>172.16.11.64</t>
  </si>
  <si>
    <t>172.16.11.65</t>
  </si>
  <si>
    <t>172.16.11.65 - 172.16.11.78</t>
  </si>
  <si>
    <t>172.16.11.79</t>
  </si>
  <si>
    <t>0.0.0.15</t>
  </si>
  <si>
    <t>BAF4</t>
  </si>
  <si>
    <t>SW-A-F4-10</t>
  </si>
  <si>
    <t>g1/0/10</t>
  </si>
  <si>
    <t>B</t>
  </si>
  <si>
    <t>172.16.20.0</t>
  </si>
  <si>
    <t>172.16.20.1</t>
  </si>
  <si>
    <t>172.16.20.1 - 172.16.20.254</t>
  </si>
  <si>
    <t>172.16.20.255</t>
  </si>
  <si>
    <t>255.255.255.0</t>
  </si>
  <si>
    <t>0.0.0.255</t>
  </si>
  <si>
    <t>BBF1</t>
  </si>
  <si>
    <t>SW-B-F1-1</t>
  </si>
  <si>
    <t>SW-B-F1-5</t>
  </si>
  <si>
    <t>g1/0/5</t>
  </si>
  <si>
    <t>172.16.21.0</t>
  </si>
  <si>
    <t>172.16.21.1</t>
  </si>
  <si>
    <t>172.16.21.1 - 172.16.21.126</t>
  </si>
  <si>
    <t>172.16.21.127</t>
  </si>
  <si>
    <t>BBF2</t>
  </si>
  <si>
    <t>SW-B-F2-6</t>
  </si>
  <si>
    <t>SW-B-F2-9</t>
  </si>
  <si>
    <t>g1/0/6</t>
  </si>
  <si>
    <t>172.16.21.128</t>
  </si>
  <si>
    <t>172.16.21.129</t>
  </si>
  <si>
    <t>172.16.21.129 -172.16.21.158</t>
  </si>
  <si>
    <t>172.16.21.159</t>
  </si>
  <si>
    <t>0.0.0.31</t>
  </si>
  <si>
    <t>BBF3</t>
  </si>
  <si>
    <t>SW-B-F3-10</t>
  </si>
  <si>
    <t>172.16.21.160</t>
  </si>
  <si>
    <t>172.16.21.161</t>
  </si>
  <si>
    <t>172.16.21.161 - 172.16.21.174</t>
  </si>
  <si>
    <t>172.16.21.175</t>
  </si>
  <si>
    <t>BBF4</t>
  </si>
  <si>
    <t>SW-B-F4-11</t>
  </si>
  <si>
    <t>g1/0/11</t>
  </si>
  <si>
    <t>C</t>
  </si>
  <si>
    <t>1 (Finance Div)</t>
  </si>
  <si>
    <t>172.16.30.0</t>
  </si>
  <si>
    <t>172.16.30.1</t>
  </si>
  <si>
    <t>172.16.30.1 - 172.16.30.254</t>
  </si>
  <si>
    <t>172.16.30.255</t>
  </si>
  <si>
    <t>BCF1-FIN</t>
  </si>
  <si>
    <t>SW-C-F1-FIN-1</t>
  </si>
  <si>
    <t>SW-C-F1-FIN-5</t>
  </si>
  <si>
    <t xml:space="preserve">1 (IT Div) </t>
  </si>
  <si>
    <t>172.16.31.0</t>
  </si>
  <si>
    <t>172.16.31.1</t>
  </si>
  <si>
    <t>172.16.31.1 - 172.16.31.126</t>
  </si>
  <si>
    <t>172.16.31.127</t>
  </si>
  <si>
    <t>255.255.255.128</t>
  </si>
  <si>
    <t>BCF1-IT</t>
  </si>
  <si>
    <t>SW-C-F1-IT-6</t>
  </si>
  <si>
    <t>SW-C-F1-IT-8</t>
  </si>
  <si>
    <t>1 (Technician Div)</t>
  </si>
  <si>
    <t>172.16.31.128</t>
  </si>
  <si>
    <t>172.16.31.129</t>
  </si>
  <si>
    <t>172.16.31.129 - 172.16.31.190</t>
  </si>
  <si>
    <t>172.16.31.191</t>
  </si>
  <si>
    <t>255.255.255.192</t>
  </si>
  <si>
    <t>BCF1-TEC</t>
  </si>
  <si>
    <t>SW-C-F1-TEC-9</t>
  </si>
  <si>
    <t>SW-C-F1-TEC-10</t>
  </si>
  <si>
    <t>1 (HR Div)</t>
  </si>
  <si>
    <t>172.16.31.192</t>
  </si>
  <si>
    <t>172.16.31.193</t>
  </si>
  <si>
    <t>172.16.31.193 - 172.16.31.222</t>
  </si>
  <si>
    <t>172.16.31.223</t>
  </si>
  <si>
    <t>255.255.255.224</t>
  </si>
  <si>
    <t>BCF1-HR</t>
  </si>
  <si>
    <t>SW-C-F1-HR-11</t>
  </si>
  <si>
    <t>172.16.32.0</t>
  </si>
  <si>
    <t>172.16.32.1</t>
  </si>
  <si>
    <t>172.16.32.1 - 172.16.32.254</t>
  </si>
  <si>
    <t>172.16.32.255</t>
  </si>
  <si>
    <t>BCF2</t>
  </si>
  <si>
    <t>SW-C-F2-12</t>
  </si>
  <si>
    <t>SW-C-F2-16</t>
  </si>
  <si>
    <t>g1/0/12</t>
  </si>
  <si>
    <t>g1/0/16</t>
  </si>
  <si>
    <t>Config:</t>
  </si>
  <si>
    <t>Panduan konfigurasi komponen</t>
  </si>
  <si>
    <t>172.16.0.0</t>
  </si>
  <si>
    <t>255.255.0.0</t>
  </si>
  <si>
    <t>Router to L3 Switch via g0/0/1</t>
  </si>
  <si>
    <t>L3 Switch to Router via g1/1/1</t>
  </si>
  <si>
    <t>Total Usable IP Address</t>
  </si>
  <si>
    <t>172.16.1.0</t>
  </si>
  <si>
    <t>172.16.1.1</t>
  </si>
  <si>
    <t>172.16.1.2</t>
  </si>
  <si>
    <t>172.16.1.3</t>
  </si>
  <si>
    <t>255.255.255.252</t>
  </si>
  <si>
    <t>0.0.0.3</t>
  </si>
  <si>
    <t>172.16.2.0</t>
  </si>
  <si>
    <t>172.16.2.1</t>
  </si>
  <si>
    <t xml:space="preserve"> 172.16.2.2</t>
  </si>
  <si>
    <t>172.16.2.3</t>
  </si>
  <si>
    <t>172.16.3.0</t>
  </si>
  <si>
    <t>172.16.3.1</t>
  </si>
  <si>
    <t xml:space="preserve"> 172.16.3.2</t>
  </si>
  <si>
    <t>172.16.3.3</t>
  </si>
  <si>
    <t>Router Pair</t>
  </si>
  <si>
    <t>Router port IP</t>
  </si>
  <si>
    <t>Total IP</t>
  </si>
  <si>
    <t>MD5 Auth</t>
  </si>
  <si>
    <t>Left pair</t>
  </si>
  <si>
    <t>Right pair</t>
  </si>
  <si>
    <t>Key</t>
  </si>
  <si>
    <t>Password</t>
  </si>
  <si>
    <t>A-B</t>
  </si>
  <si>
    <t>192.168.10.0</t>
  </si>
  <si>
    <t>192.168.10.1</t>
  </si>
  <si>
    <t>192.168.10.2</t>
  </si>
  <si>
    <t>192.168.10.3</t>
  </si>
  <si>
    <t>CN!52026ONEER</t>
  </si>
  <si>
    <t>B-C</t>
  </si>
  <si>
    <t>192.168.10.4</t>
  </si>
  <si>
    <t>192.168.10.5</t>
  </si>
  <si>
    <t>192.168.10.6</t>
  </si>
  <si>
    <t>192.168.10.7</t>
  </si>
  <si>
    <t>A-C</t>
  </si>
  <si>
    <t>192.168.10.8</t>
  </si>
  <si>
    <t>192.168.10.9</t>
  </si>
  <si>
    <t>192.168.10.10</t>
  </si>
  <si>
    <t>192.168.10.11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</si>
</sst>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2" fontId="2" numFmtId="0" xfId="0" applyAlignment="1" applyBorder="1" applyFont="1">
      <alignment horizontal="left"/>
    </xf>
    <xf borderId="5" fillId="2" fontId="2" numFmtId="0" xfId="0" applyAlignment="1" applyBorder="1" applyFont="1">
      <alignment vertical="center"/>
    </xf>
    <xf borderId="5" fillId="2" fontId="2" numFmtId="0" xfId="0" applyBorder="1" applyFont="1"/>
    <xf borderId="5" fillId="3" fontId="2" numFmtId="0" xfId="0" applyAlignment="1" applyBorder="1" applyFill="1" applyFont="1">
      <alignment horizontal="center"/>
    </xf>
    <xf borderId="5" fillId="3" fontId="2" numFmtId="3" xfId="0" applyAlignment="1" applyBorder="1" applyFont="1" applyNumberFormat="1">
      <alignment horizontal="center"/>
    </xf>
    <xf borderId="1" fillId="3" fontId="2" numFmtId="3" xfId="0" applyAlignment="1" applyBorder="1" applyFont="1" applyNumberFormat="1">
      <alignment horizontal="center" readingOrder="0" vertical="center"/>
    </xf>
    <xf borderId="1" fillId="3" fontId="2" numFmtId="3" xfId="0" applyAlignment="1" applyBorder="1" applyFont="1" applyNumberFormat="1">
      <alignment horizontal="center" vertical="center"/>
    </xf>
    <xf borderId="5" fillId="3" fontId="2" numFmtId="0" xfId="0" applyBorder="1" applyFont="1"/>
    <xf borderId="1" fillId="3" fontId="2" numFmtId="0" xfId="0" applyAlignment="1" applyBorder="1" applyFont="1">
      <alignment horizontal="center" vertical="center"/>
    </xf>
    <xf borderId="6" fillId="0" fontId="3" numFmtId="0" xfId="0" applyBorder="1" applyFont="1"/>
    <xf borderId="5" fillId="4" fontId="2" numFmtId="0" xfId="0" applyAlignment="1" applyBorder="1" applyFill="1" applyFont="1">
      <alignment horizontal="center"/>
    </xf>
    <xf borderId="5" fillId="4" fontId="2" numFmtId="3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5" fillId="4" fontId="2" numFmtId="0" xfId="0" applyBorder="1" applyFont="1"/>
    <xf borderId="1" fillId="5" fontId="2" numFmtId="0" xfId="0" applyAlignment="1" applyBorder="1" applyFill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5" fillId="5" fontId="2" numFmtId="3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/>
    </xf>
    <xf borderId="5" fillId="5" fontId="2" numFmtId="0" xfId="0" applyBorder="1" applyFont="1"/>
    <xf borderId="5" fillId="5" fontId="2" numFmtId="3" xfId="0" applyAlignment="1" applyBorder="1" applyFont="1" applyNumberFormat="1">
      <alignment horizontal="center"/>
    </xf>
    <xf borderId="4" fillId="5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5" numFmtId="0" xfId="0" applyFont="1"/>
    <xf borderId="5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bottom"/>
    </xf>
    <xf borderId="5" fillId="4" fontId="4" numFmtId="0" xfId="0" applyAlignment="1" applyBorder="1" applyFont="1">
      <alignment horizontal="center" vertical="bottom"/>
    </xf>
    <xf borderId="5" fillId="5" fontId="4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/>
    </xf>
    <xf borderId="2" fillId="6" fontId="4" numFmtId="0" xfId="0" applyAlignment="1" applyBorder="1" applyFill="1" applyFont="1">
      <alignment horizontal="center"/>
    </xf>
    <xf borderId="5" fillId="6" fontId="4" numFmtId="0" xfId="0" applyAlignment="1" applyBorder="1" applyFont="1">
      <alignment horizontal="center"/>
    </xf>
    <xf borderId="5" fillId="7" fontId="2" numFmtId="0" xfId="0" applyAlignment="1" applyBorder="1" applyFill="1" applyFont="1">
      <alignment horizontal="center"/>
    </xf>
    <xf borderId="5" fillId="7" fontId="2" numFmtId="3" xfId="0" applyAlignment="1" applyBorder="1" applyFont="1" applyNumberFormat="1">
      <alignment horizontal="center"/>
    </xf>
    <xf borderId="5" fillId="7" fontId="2" numFmtId="3" xfId="0" applyAlignment="1" applyBorder="1" applyFont="1" applyNumberFormat="1">
      <alignment horizontal="center" vertical="center"/>
    </xf>
    <xf borderId="1" fillId="7" fontId="2" numFmtId="3" xfId="0" applyAlignment="1" applyBorder="1" applyFont="1" applyNumberFormat="1">
      <alignment horizontal="center" vertical="center"/>
    </xf>
    <xf borderId="5" fillId="7" fontId="4" numFmtId="0" xfId="0" applyAlignment="1" applyBorder="1" applyFont="1">
      <alignment horizontal="center"/>
    </xf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geFwpR3m1GZ17BmH507zSZSlzZY0sb3AO-wIOCK0Fcg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16.86"/>
    <col customWidth="1" min="4" max="4" width="14.71"/>
    <col customWidth="1" min="5" max="5" width="18.57"/>
    <col customWidth="1" min="6" max="6" width="17.43"/>
    <col customWidth="1" min="7" max="7" width="30.29"/>
    <col customWidth="1" min="8" max="8" width="18.29"/>
    <col customWidth="1" min="9" max="9" width="11.57"/>
    <col customWidth="1" min="10" max="10" width="19.29"/>
    <col customWidth="1" min="11" max="11" width="22.14"/>
    <col customWidth="1" min="12" max="12" width="12.43"/>
    <col customWidth="1" min="13" max="13" width="11.14"/>
    <col customWidth="1" min="14" max="14" width="9.57"/>
    <col customWidth="1" min="15" max="15" width="15.71"/>
    <col customWidth="1" min="16" max="16" width="15.43"/>
    <col customWidth="1" min="17" max="17" width="15.71"/>
    <col customWidth="1" min="18" max="18" width="13.86"/>
    <col customWidth="1" min="19" max="19" width="13.57"/>
    <col customWidth="1" min="20" max="20" width="12.71"/>
    <col customWidth="1" min="21" max="22" width="13.57"/>
    <col customWidth="1" min="23" max="23" width="12.71"/>
    <col customWidth="1" min="24" max="74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ht="32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3" t="s">
        <v>10</v>
      </c>
      <c r="K2" s="5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6" t="s">
        <v>16</v>
      </c>
      <c r="Q2" s="7"/>
      <c r="R2" s="8" t="s">
        <v>17</v>
      </c>
      <c r="S2" s="7"/>
      <c r="T2" s="4" t="s">
        <v>18</v>
      </c>
      <c r="U2" s="4" t="s">
        <v>19</v>
      </c>
      <c r="V2" s="4" t="s">
        <v>20</v>
      </c>
      <c r="W2" s="9" t="s">
        <v>21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</row>
    <row r="3" ht="14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 t="s">
        <v>22</v>
      </c>
      <c r="Q3" s="11" t="s">
        <v>23</v>
      </c>
      <c r="R3" s="12" t="s">
        <v>22</v>
      </c>
      <c r="S3" s="13" t="s">
        <v>23</v>
      </c>
      <c r="T3" s="10"/>
      <c r="U3" s="10"/>
      <c r="V3" s="10"/>
      <c r="W3" s="10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</row>
    <row r="4" ht="14.25" customHeight="1">
      <c r="A4" s="14" t="s">
        <v>24</v>
      </c>
      <c r="B4" s="14">
        <v>1.0</v>
      </c>
      <c r="C4" s="14">
        <v>60.0</v>
      </c>
      <c r="D4" s="15">
        <f t="shared" ref="D4:D16" si="1">C4+((30 / 100)*C4)</f>
        <v>78</v>
      </c>
      <c r="E4" s="14" t="s">
        <v>25</v>
      </c>
      <c r="F4" s="14" t="s">
        <v>26</v>
      </c>
      <c r="G4" s="14" t="s">
        <v>27</v>
      </c>
      <c r="H4" s="14" t="s">
        <v>28</v>
      </c>
      <c r="I4" s="14">
        <f t="shared" ref="I4:I5" si="2">(2^7)-2</f>
        <v>126</v>
      </c>
      <c r="J4" s="15">
        <v>2.55255255128E11</v>
      </c>
      <c r="K4" s="16" t="s">
        <v>29</v>
      </c>
      <c r="L4" s="15" t="s">
        <v>30</v>
      </c>
      <c r="M4" s="17">
        <v>10.0</v>
      </c>
      <c r="N4" s="14">
        <v>11.0</v>
      </c>
      <c r="O4" s="14" t="s">
        <v>31</v>
      </c>
      <c r="P4" s="18" t="s">
        <v>32</v>
      </c>
      <c r="Q4" s="18" t="s">
        <v>33</v>
      </c>
      <c r="R4" s="18" t="s">
        <v>34</v>
      </c>
      <c r="S4" s="18" t="s">
        <v>35</v>
      </c>
      <c r="T4" s="19">
        <f>24-SUM(U4:U7)</f>
        <v>14</v>
      </c>
      <c r="U4" s="14">
        <v>3.0</v>
      </c>
      <c r="V4" s="14">
        <f t="shared" ref="V4:V16" si="3">U4*24</f>
        <v>72</v>
      </c>
      <c r="W4" s="14">
        <f t="shared" ref="W4:W16" si="4">V4-C4</f>
        <v>12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</row>
    <row r="5" ht="14.25" customHeight="1">
      <c r="A5" s="14" t="s">
        <v>24</v>
      </c>
      <c r="B5" s="14">
        <v>2.0</v>
      </c>
      <c r="C5" s="14">
        <v>80.0</v>
      </c>
      <c r="D5" s="15">
        <f t="shared" si="1"/>
        <v>104</v>
      </c>
      <c r="E5" s="14" t="s">
        <v>36</v>
      </c>
      <c r="F5" s="14" t="s">
        <v>37</v>
      </c>
      <c r="G5" s="14" t="s">
        <v>38</v>
      </c>
      <c r="H5" s="14" t="s">
        <v>39</v>
      </c>
      <c r="I5" s="14">
        <f t="shared" si="2"/>
        <v>126</v>
      </c>
      <c r="J5" s="15">
        <v>2.55255255128E11</v>
      </c>
      <c r="K5" s="20"/>
      <c r="L5" s="15" t="s">
        <v>30</v>
      </c>
      <c r="M5" s="20"/>
      <c r="N5" s="14">
        <v>12.0</v>
      </c>
      <c r="O5" s="14" t="s">
        <v>40</v>
      </c>
      <c r="P5" s="18" t="s">
        <v>41</v>
      </c>
      <c r="Q5" s="18" t="s">
        <v>42</v>
      </c>
      <c r="R5" s="18" t="s">
        <v>43</v>
      </c>
      <c r="S5" s="18" t="s">
        <v>44</v>
      </c>
      <c r="T5" s="20"/>
      <c r="U5" s="14">
        <v>4.0</v>
      </c>
      <c r="V5" s="14">
        <f t="shared" si="3"/>
        <v>96</v>
      </c>
      <c r="W5" s="14">
        <f t="shared" si="4"/>
        <v>16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</row>
    <row r="6" ht="14.25" customHeight="1">
      <c r="A6" s="14" t="s">
        <v>24</v>
      </c>
      <c r="B6" s="14">
        <v>3.0</v>
      </c>
      <c r="C6" s="14">
        <v>30.0</v>
      </c>
      <c r="D6" s="15">
        <f t="shared" si="1"/>
        <v>39</v>
      </c>
      <c r="E6" s="14" t="s">
        <v>45</v>
      </c>
      <c r="F6" s="14" t="s">
        <v>46</v>
      </c>
      <c r="G6" s="14" t="s">
        <v>47</v>
      </c>
      <c r="H6" s="14" t="s">
        <v>48</v>
      </c>
      <c r="I6" s="14">
        <f>(2^6)-2</f>
        <v>62</v>
      </c>
      <c r="J6" s="15">
        <v>2.55255255192E11</v>
      </c>
      <c r="K6" s="20"/>
      <c r="L6" s="15" t="s">
        <v>49</v>
      </c>
      <c r="M6" s="20"/>
      <c r="N6" s="14">
        <v>13.0</v>
      </c>
      <c r="O6" s="14" t="s">
        <v>50</v>
      </c>
      <c r="P6" s="18" t="s">
        <v>51</v>
      </c>
      <c r="Q6" s="18" t="s">
        <v>52</v>
      </c>
      <c r="R6" s="18" t="s">
        <v>53</v>
      </c>
      <c r="S6" s="18" t="s">
        <v>54</v>
      </c>
      <c r="T6" s="20"/>
      <c r="U6" s="14">
        <v>2.0</v>
      </c>
      <c r="V6" s="14">
        <f t="shared" si="3"/>
        <v>48</v>
      </c>
      <c r="W6" s="14">
        <f t="shared" si="4"/>
        <v>18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</row>
    <row r="7" ht="14.25" customHeight="1">
      <c r="A7" s="14" t="s">
        <v>24</v>
      </c>
      <c r="B7" s="14">
        <v>4.0</v>
      </c>
      <c r="C7" s="14">
        <v>10.0</v>
      </c>
      <c r="D7" s="15">
        <f t="shared" si="1"/>
        <v>13</v>
      </c>
      <c r="E7" s="14" t="s">
        <v>55</v>
      </c>
      <c r="F7" s="14" t="s">
        <v>56</v>
      </c>
      <c r="G7" s="14" t="s">
        <v>57</v>
      </c>
      <c r="H7" s="14" t="s">
        <v>58</v>
      </c>
      <c r="I7" s="14">
        <f>(2^4)-2</f>
        <v>14</v>
      </c>
      <c r="J7" s="15">
        <v>2.5525525524E11</v>
      </c>
      <c r="K7" s="10"/>
      <c r="L7" s="15" t="s">
        <v>59</v>
      </c>
      <c r="M7" s="10"/>
      <c r="N7" s="14">
        <v>14.0</v>
      </c>
      <c r="O7" s="14" t="s">
        <v>60</v>
      </c>
      <c r="P7" s="18" t="s">
        <v>61</v>
      </c>
      <c r="Q7" s="18" t="s">
        <v>61</v>
      </c>
      <c r="R7" s="18" t="s">
        <v>62</v>
      </c>
      <c r="S7" s="18" t="s">
        <v>62</v>
      </c>
      <c r="T7" s="10"/>
      <c r="U7" s="14">
        <v>1.0</v>
      </c>
      <c r="V7" s="14">
        <f t="shared" si="3"/>
        <v>24</v>
      </c>
      <c r="W7" s="14">
        <f t="shared" si="4"/>
        <v>14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 ht="14.25" customHeight="1">
      <c r="A8" s="21" t="s">
        <v>63</v>
      </c>
      <c r="B8" s="21">
        <v>1.0</v>
      </c>
      <c r="C8" s="21">
        <v>120.0</v>
      </c>
      <c r="D8" s="22">
        <f t="shared" si="1"/>
        <v>156</v>
      </c>
      <c r="E8" s="21" t="s">
        <v>64</v>
      </c>
      <c r="F8" s="21" t="s">
        <v>65</v>
      </c>
      <c r="G8" s="21" t="s">
        <v>66</v>
      </c>
      <c r="H8" s="21" t="s">
        <v>67</v>
      </c>
      <c r="I8" s="21">
        <f>(2^8)-2</f>
        <v>254</v>
      </c>
      <c r="J8" s="21" t="s">
        <v>68</v>
      </c>
      <c r="K8" s="23" t="s">
        <v>29</v>
      </c>
      <c r="L8" s="21" t="s">
        <v>69</v>
      </c>
      <c r="M8" s="24">
        <v>20.0</v>
      </c>
      <c r="N8" s="21">
        <v>21.0</v>
      </c>
      <c r="O8" s="21" t="s">
        <v>70</v>
      </c>
      <c r="P8" s="25" t="s">
        <v>71</v>
      </c>
      <c r="Q8" s="25" t="s">
        <v>72</v>
      </c>
      <c r="R8" s="25" t="s">
        <v>34</v>
      </c>
      <c r="S8" s="25" t="s">
        <v>73</v>
      </c>
      <c r="T8" s="24">
        <f>24-SUM(U8:U11)</f>
        <v>13</v>
      </c>
      <c r="U8" s="21">
        <v>5.0</v>
      </c>
      <c r="V8" s="21">
        <f t="shared" si="3"/>
        <v>120</v>
      </c>
      <c r="W8" s="21">
        <f t="shared" si="4"/>
        <v>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</row>
    <row r="9" ht="14.25" customHeight="1">
      <c r="A9" s="21" t="s">
        <v>63</v>
      </c>
      <c r="B9" s="21">
        <v>2.0</v>
      </c>
      <c r="C9" s="21">
        <v>90.0</v>
      </c>
      <c r="D9" s="22">
        <f t="shared" si="1"/>
        <v>117</v>
      </c>
      <c r="E9" s="21" t="s">
        <v>74</v>
      </c>
      <c r="F9" s="21" t="s">
        <v>75</v>
      </c>
      <c r="G9" s="21" t="s">
        <v>76</v>
      </c>
      <c r="H9" s="21" t="s">
        <v>77</v>
      </c>
      <c r="I9" s="21">
        <f>(2^7)-2</f>
        <v>126</v>
      </c>
      <c r="J9" s="22">
        <v>2.55255255128E11</v>
      </c>
      <c r="K9" s="20"/>
      <c r="L9" s="21" t="s">
        <v>30</v>
      </c>
      <c r="M9" s="20"/>
      <c r="N9" s="21">
        <v>22.0</v>
      </c>
      <c r="O9" s="21" t="s">
        <v>78</v>
      </c>
      <c r="P9" s="25" t="s">
        <v>79</v>
      </c>
      <c r="Q9" s="25" t="s">
        <v>80</v>
      </c>
      <c r="R9" s="25" t="s">
        <v>81</v>
      </c>
      <c r="S9" s="25" t="s">
        <v>54</v>
      </c>
      <c r="T9" s="20"/>
      <c r="U9" s="21">
        <v>4.0</v>
      </c>
      <c r="V9" s="21">
        <f t="shared" si="3"/>
        <v>96</v>
      </c>
      <c r="W9" s="21">
        <f t="shared" si="4"/>
        <v>6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</row>
    <row r="10" ht="14.25" customHeight="1">
      <c r="A10" s="21" t="s">
        <v>63</v>
      </c>
      <c r="B10" s="21">
        <v>3.0</v>
      </c>
      <c r="C10" s="21">
        <v>12.0</v>
      </c>
      <c r="D10" s="22">
        <f t="shared" si="1"/>
        <v>15.6</v>
      </c>
      <c r="E10" s="21" t="s">
        <v>82</v>
      </c>
      <c r="F10" s="21" t="s">
        <v>83</v>
      </c>
      <c r="G10" s="21" t="s">
        <v>84</v>
      </c>
      <c r="H10" s="21" t="s">
        <v>85</v>
      </c>
      <c r="I10" s="21">
        <f>(2^5)-2</f>
        <v>30</v>
      </c>
      <c r="J10" s="22">
        <v>2.55255255224E11</v>
      </c>
      <c r="K10" s="20"/>
      <c r="L10" s="21" t="s">
        <v>86</v>
      </c>
      <c r="M10" s="20"/>
      <c r="N10" s="21">
        <v>23.0</v>
      </c>
      <c r="O10" s="21" t="s">
        <v>87</v>
      </c>
      <c r="P10" s="25" t="s">
        <v>88</v>
      </c>
      <c r="Q10" s="25" t="s">
        <v>88</v>
      </c>
      <c r="R10" s="25" t="s">
        <v>62</v>
      </c>
      <c r="S10" s="25" t="s">
        <v>62</v>
      </c>
      <c r="T10" s="20"/>
      <c r="U10" s="21">
        <v>1.0</v>
      </c>
      <c r="V10" s="21">
        <f t="shared" si="3"/>
        <v>24</v>
      </c>
      <c r="W10" s="21">
        <f t="shared" si="4"/>
        <v>12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</row>
    <row r="11" ht="14.25" customHeight="1">
      <c r="A11" s="21" t="s">
        <v>63</v>
      </c>
      <c r="B11" s="21">
        <v>4.0</v>
      </c>
      <c r="C11" s="21">
        <v>7.0</v>
      </c>
      <c r="D11" s="22">
        <f t="shared" si="1"/>
        <v>9.1</v>
      </c>
      <c r="E11" s="21" t="s">
        <v>89</v>
      </c>
      <c r="F11" s="21" t="s">
        <v>90</v>
      </c>
      <c r="G11" s="21" t="s">
        <v>91</v>
      </c>
      <c r="H11" s="21" t="s">
        <v>92</v>
      </c>
      <c r="I11" s="21">
        <f>(2^4)-2</f>
        <v>14</v>
      </c>
      <c r="J11" s="22">
        <v>2.5525525524E11</v>
      </c>
      <c r="K11" s="10"/>
      <c r="L11" s="21" t="s">
        <v>59</v>
      </c>
      <c r="M11" s="10"/>
      <c r="N11" s="21">
        <v>24.0</v>
      </c>
      <c r="O11" s="21" t="s">
        <v>93</v>
      </c>
      <c r="P11" s="25" t="s">
        <v>94</v>
      </c>
      <c r="Q11" s="25" t="s">
        <v>94</v>
      </c>
      <c r="R11" s="25" t="s">
        <v>95</v>
      </c>
      <c r="S11" s="25" t="s">
        <v>95</v>
      </c>
      <c r="T11" s="10"/>
      <c r="U11" s="21">
        <v>1.0</v>
      </c>
      <c r="V11" s="21">
        <f t="shared" si="3"/>
        <v>24</v>
      </c>
      <c r="W11" s="21">
        <f t="shared" si="4"/>
        <v>17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</row>
    <row r="12" ht="14.25" customHeight="1">
      <c r="A12" s="26" t="s">
        <v>96</v>
      </c>
      <c r="B12" s="27" t="s">
        <v>97</v>
      </c>
      <c r="C12" s="27">
        <v>100.0</v>
      </c>
      <c r="D12" s="28">
        <f t="shared" si="1"/>
        <v>130</v>
      </c>
      <c r="E12" s="27" t="s">
        <v>98</v>
      </c>
      <c r="F12" s="27" t="s">
        <v>99</v>
      </c>
      <c r="G12" s="27" t="s">
        <v>100</v>
      </c>
      <c r="H12" s="27" t="s">
        <v>101</v>
      </c>
      <c r="I12" s="27">
        <f>(2^8)-2</f>
        <v>254</v>
      </c>
      <c r="J12" s="27" t="s">
        <v>68</v>
      </c>
      <c r="K12" s="29" t="s">
        <v>29</v>
      </c>
      <c r="L12" s="27" t="s">
        <v>69</v>
      </c>
      <c r="M12" s="26">
        <v>30.0</v>
      </c>
      <c r="N12" s="30">
        <v>311.0</v>
      </c>
      <c r="O12" s="30" t="s">
        <v>102</v>
      </c>
      <c r="P12" s="31" t="s">
        <v>103</v>
      </c>
      <c r="Q12" s="31" t="s">
        <v>104</v>
      </c>
      <c r="R12" s="31" t="s">
        <v>34</v>
      </c>
      <c r="S12" s="31" t="s">
        <v>73</v>
      </c>
      <c r="T12" s="26">
        <f>24-SUM(U12:U16)</f>
        <v>8</v>
      </c>
      <c r="U12" s="30">
        <v>5.0</v>
      </c>
      <c r="V12" s="30">
        <f t="shared" si="3"/>
        <v>120</v>
      </c>
      <c r="W12" s="30">
        <f t="shared" si="4"/>
        <v>20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</row>
    <row r="13" ht="14.25" customHeight="1">
      <c r="A13" s="20"/>
      <c r="B13" s="27" t="s">
        <v>105</v>
      </c>
      <c r="C13" s="27">
        <v>50.0</v>
      </c>
      <c r="D13" s="28">
        <f t="shared" si="1"/>
        <v>65</v>
      </c>
      <c r="E13" s="27" t="s">
        <v>106</v>
      </c>
      <c r="F13" s="27" t="s">
        <v>107</v>
      </c>
      <c r="G13" s="27" t="s">
        <v>108</v>
      </c>
      <c r="H13" s="27" t="s">
        <v>109</v>
      </c>
      <c r="I13" s="27">
        <f>(2^7)-2</f>
        <v>126</v>
      </c>
      <c r="J13" s="27" t="s">
        <v>110</v>
      </c>
      <c r="K13" s="20"/>
      <c r="L13" s="27" t="s">
        <v>30</v>
      </c>
      <c r="M13" s="20"/>
      <c r="N13" s="30">
        <v>312.0</v>
      </c>
      <c r="O13" s="30" t="s">
        <v>111</v>
      </c>
      <c r="P13" s="31" t="s">
        <v>112</v>
      </c>
      <c r="Q13" s="31" t="s">
        <v>113</v>
      </c>
      <c r="R13" s="31" t="s">
        <v>81</v>
      </c>
      <c r="S13" s="31" t="s">
        <v>53</v>
      </c>
      <c r="T13" s="20"/>
      <c r="U13" s="30">
        <v>3.0</v>
      </c>
      <c r="V13" s="30">
        <f t="shared" si="3"/>
        <v>72</v>
      </c>
      <c r="W13" s="30">
        <f t="shared" si="4"/>
        <v>22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</row>
    <row r="14" ht="14.25" customHeight="1">
      <c r="A14" s="20"/>
      <c r="B14" s="27" t="s">
        <v>114</v>
      </c>
      <c r="C14" s="27">
        <v>34.0</v>
      </c>
      <c r="D14" s="28">
        <f t="shared" si="1"/>
        <v>44.2</v>
      </c>
      <c r="E14" s="27" t="s">
        <v>115</v>
      </c>
      <c r="F14" s="27" t="s">
        <v>116</v>
      </c>
      <c r="G14" s="27" t="s">
        <v>117</v>
      </c>
      <c r="H14" s="27" t="s">
        <v>118</v>
      </c>
      <c r="I14" s="27">
        <f>(2^6)-2</f>
        <v>62</v>
      </c>
      <c r="J14" s="27" t="s">
        <v>119</v>
      </c>
      <c r="K14" s="20"/>
      <c r="L14" s="27" t="s">
        <v>49</v>
      </c>
      <c r="M14" s="20"/>
      <c r="N14" s="30">
        <v>313.0</v>
      </c>
      <c r="O14" s="30" t="s">
        <v>120</v>
      </c>
      <c r="P14" s="31" t="s">
        <v>121</v>
      </c>
      <c r="Q14" s="31" t="s">
        <v>122</v>
      </c>
      <c r="R14" s="31" t="s">
        <v>54</v>
      </c>
      <c r="S14" s="31" t="s">
        <v>62</v>
      </c>
      <c r="T14" s="20"/>
      <c r="U14" s="30">
        <v>2.0</v>
      </c>
      <c r="V14" s="30">
        <f t="shared" si="3"/>
        <v>48</v>
      </c>
      <c r="W14" s="30">
        <f t="shared" si="4"/>
        <v>14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 ht="14.25" customHeight="1">
      <c r="A15" s="10"/>
      <c r="B15" s="27" t="s">
        <v>123</v>
      </c>
      <c r="C15" s="27">
        <v>16.0</v>
      </c>
      <c r="D15" s="28">
        <f t="shared" si="1"/>
        <v>20.8</v>
      </c>
      <c r="E15" s="27" t="s">
        <v>124</v>
      </c>
      <c r="F15" s="27" t="s">
        <v>125</v>
      </c>
      <c r="G15" s="27" t="s">
        <v>126</v>
      </c>
      <c r="H15" s="27" t="s">
        <v>127</v>
      </c>
      <c r="I15" s="27">
        <f>(2^5)-2</f>
        <v>30</v>
      </c>
      <c r="J15" s="27" t="s">
        <v>128</v>
      </c>
      <c r="K15" s="10"/>
      <c r="L15" s="27" t="s">
        <v>86</v>
      </c>
      <c r="M15" s="20"/>
      <c r="N15" s="30">
        <v>314.0</v>
      </c>
      <c r="O15" s="30" t="s">
        <v>129</v>
      </c>
      <c r="P15" s="31" t="s">
        <v>130</v>
      </c>
      <c r="Q15" s="31" t="s">
        <v>130</v>
      </c>
      <c r="R15" s="31" t="s">
        <v>95</v>
      </c>
      <c r="S15" s="31" t="s">
        <v>95</v>
      </c>
      <c r="T15" s="20"/>
      <c r="U15" s="30">
        <v>1.0</v>
      </c>
      <c r="V15" s="30">
        <f t="shared" si="3"/>
        <v>24</v>
      </c>
      <c r="W15" s="30">
        <f t="shared" si="4"/>
        <v>8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</row>
    <row r="16" ht="14.25" customHeight="1">
      <c r="A16" s="30" t="s">
        <v>96</v>
      </c>
      <c r="B16" s="30">
        <v>2.0</v>
      </c>
      <c r="C16" s="30">
        <v>100.0</v>
      </c>
      <c r="D16" s="32">
        <f t="shared" si="1"/>
        <v>130</v>
      </c>
      <c r="E16" s="30" t="s">
        <v>131</v>
      </c>
      <c r="F16" s="30" t="s">
        <v>132</v>
      </c>
      <c r="G16" s="30" t="s">
        <v>133</v>
      </c>
      <c r="H16" s="30" t="s">
        <v>134</v>
      </c>
      <c r="I16" s="30">
        <f>(2^8)-2</f>
        <v>254</v>
      </c>
      <c r="J16" s="30" t="s">
        <v>68</v>
      </c>
      <c r="K16" s="33" t="s">
        <v>29</v>
      </c>
      <c r="L16" s="30" t="s">
        <v>69</v>
      </c>
      <c r="M16" s="10"/>
      <c r="N16" s="30">
        <v>32.0</v>
      </c>
      <c r="O16" s="30" t="s">
        <v>135</v>
      </c>
      <c r="P16" s="31" t="s">
        <v>136</v>
      </c>
      <c r="Q16" s="31" t="s">
        <v>137</v>
      </c>
      <c r="R16" s="31" t="s">
        <v>138</v>
      </c>
      <c r="S16" s="31" t="s">
        <v>139</v>
      </c>
      <c r="T16" s="10"/>
      <c r="U16" s="30">
        <v>5.0</v>
      </c>
      <c r="V16" s="30">
        <f t="shared" si="3"/>
        <v>120</v>
      </c>
      <c r="W16" s="30">
        <f t="shared" si="4"/>
        <v>20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</row>
    <row r="20" ht="14.25" customHeight="1">
      <c r="A20" s="2"/>
      <c r="B20" s="2"/>
      <c r="C20" s="2" t="s">
        <v>140</v>
      </c>
      <c r="D20" s="34" t="s">
        <v>141</v>
      </c>
      <c r="F20" s="2"/>
      <c r="G20" s="2"/>
      <c r="H20" s="2" t="s">
        <v>142</v>
      </c>
      <c r="I20" s="2" t="s">
        <v>143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</row>
    <row r="21" ht="14.25" customHeight="1">
      <c r="A21" s="2"/>
      <c r="B21" s="2"/>
      <c r="C21" s="2"/>
      <c r="D21" s="35"/>
      <c r="E21" s="3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</row>
    <row r="23" ht="14.25" customHeight="1">
      <c r="A23" s="2"/>
      <c r="B23" s="2"/>
      <c r="C23" s="2"/>
      <c r="D23" s="35"/>
      <c r="E23" s="3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</row>
    <row r="31" ht="14.2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</row>
    <row r="1005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</row>
    <row r="1006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</row>
  </sheetData>
  <mergeCells count="32">
    <mergeCell ref="P2:Q2"/>
    <mergeCell ref="R2:S2"/>
    <mergeCell ref="T2:T3"/>
    <mergeCell ref="U2:U3"/>
    <mergeCell ref="V2:V3"/>
    <mergeCell ref="W2:W3"/>
    <mergeCell ref="H2:H3"/>
    <mergeCell ref="I2:I3"/>
    <mergeCell ref="J2:J3"/>
    <mergeCell ref="L2:L3"/>
    <mergeCell ref="M2:M3"/>
    <mergeCell ref="N2:N3"/>
    <mergeCell ref="O2:O3"/>
    <mergeCell ref="K2:K3"/>
    <mergeCell ref="E2:E3"/>
    <mergeCell ref="D20:E20"/>
    <mergeCell ref="A2:A3"/>
    <mergeCell ref="B2:B3"/>
    <mergeCell ref="C2:C3"/>
    <mergeCell ref="D2:D3"/>
    <mergeCell ref="F2:F3"/>
    <mergeCell ref="G2:G3"/>
    <mergeCell ref="A12:A15"/>
    <mergeCell ref="M4:M7"/>
    <mergeCell ref="T4:T7"/>
    <mergeCell ref="M8:M11"/>
    <mergeCell ref="T8:T11"/>
    <mergeCell ref="M12:M16"/>
    <mergeCell ref="T12:T16"/>
    <mergeCell ref="K4:K7"/>
    <mergeCell ref="K12:K15"/>
    <mergeCell ref="K8:K11"/>
  </mergeCells>
  <hyperlinks>
    <hyperlink r:id="rId1" ref="D2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71"/>
    <col customWidth="1" min="3" max="4" width="19.0"/>
    <col customWidth="1" min="5" max="5" width="17.57"/>
    <col customWidth="1" min="6" max="6" width="22.0"/>
    <col customWidth="1" min="7" max="7" width="15.43"/>
    <col customWidth="1" min="8" max="8" width="10.0"/>
    <col customWidth="1" min="9" max="9" width="11.14"/>
  </cols>
  <sheetData>
    <row r="1" ht="28.5" customHeight="1">
      <c r="A1" s="36" t="s">
        <v>1</v>
      </c>
      <c r="B1" s="36" t="s">
        <v>5</v>
      </c>
      <c r="C1" s="37" t="s">
        <v>144</v>
      </c>
      <c r="D1" s="37" t="s">
        <v>145</v>
      </c>
      <c r="E1" s="36" t="s">
        <v>8</v>
      </c>
      <c r="F1" s="36" t="s">
        <v>146</v>
      </c>
      <c r="G1" s="36" t="s">
        <v>10</v>
      </c>
      <c r="H1" s="38" t="s">
        <v>12</v>
      </c>
      <c r="I1" s="38" t="s">
        <v>13</v>
      </c>
    </row>
    <row r="2">
      <c r="A2" s="14" t="s">
        <v>24</v>
      </c>
      <c r="B2" s="14" t="s">
        <v>147</v>
      </c>
      <c r="C2" s="14" t="s">
        <v>148</v>
      </c>
      <c r="D2" s="14" t="s">
        <v>149</v>
      </c>
      <c r="E2" s="14" t="s">
        <v>150</v>
      </c>
      <c r="F2" s="14">
        <v>2.0</v>
      </c>
      <c r="G2" s="15" t="s">
        <v>151</v>
      </c>
      <c r="H2" s="39" t="s">
        <v>152</v>
      </c>
      <c r="I2" s="39">
        <v>10.0</v>
      </c>
    </row>
    <row r="3">
      <c r="A3" s="21" t="s">
        <v>63</v>
      </c>
      <c r="B3" s="21" t="s">
        <v>153</v>
      </c>
      <c r="C3" s="21" t="s">
        <v>154</v>
      </c>
      <c r="D3" s="21" t="s">
        <v>155</v>
      </c>
      <c r="E3" s="21" t="s">
        <v>156</v>
      </c>
      <c r="F3" s="21">
        <v>2.0</v>
      </c>
      <c r="G3" s="22" t="s">
        <v>151</v>
      </c>
      <c r="H3" s="40" t="s">
        <v>152</v>
      </c>
      <c r="I3" s="40">
        <v>20.0</v>
      </c>
    </row>
    <row r="4">
      <c r="A4" s="30" t="s">
        <v>96</v>
      </c>
      <c r="B4" s="30" t="s">
        <v>157</v>
      </c>
      <c r="C4" s="30" t="s">
        <v>158</v>
      </c>
      <c r="D4" s="30" t="s">
        <v>159</v>
      </c>
      <c r="E4" s="30" t="s">
        <v>160</v>
      </c>
      <c r="F4" s="30">
        <v>2.0</v>
      </c>
      <c r="G4" s="32" t="s">
        <v>151</v>
      </c>
      <c r="H4" s="41" t="s">
        <v>152</v>
      </c>
      <c r="I4" s="41">
        <v>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71"/>
    <col customWidth="1" min="3" max="3" width="16.86"/>
    <col customWidth="1" min="4" max="4" width="17.71"/>
    <col customWidth="1" min="5" max="5" width="18.71"/>
    <col customWidth="1" min="6" max="6" width="8.29"/>
    <col customWidth="1" min="7" max="9" width="15.43"/>
    <col customWidth="1" min="11" max="11" width="16.71"/>
  </cols>
  <sheetData>
    <row r="1">
      <c r="A1" s="3" t="s">
        <v>161</v>
      </c>
      <c r="B1" s="3" t="s">
        <v>5</v>
      </c>
      <c r="C1" s="42" t="s">
        <v>162</v>
      </c>
      <c r="D1" s="7"/>
      <c r="E1" s="3" t="s">
        <v>8</v>
      </c>
      <c r="F1" s="3" t="s">
        <v>163</v>
      </c>
      <c r="G1" s="3" t="s">
        <v>10</v>
      </c>
      <c r="H1" s="3" t="s">
        <v>12</v>
      </c>
      <c r="I1" s="3" t="s">
        <v>13</v>
      </c>
      <c r="J1" s="43" t="s">
        <v>164</v>
      </c>
      <c r="K1" s="7"/>
    </row>
    <row r="2">
      <c r="A2" s="10"/>
      <c r="B2" s="10"/>
      <c r="C2" s="36" t="s">
        <v>165</v>
      </c>
      <c r="D2" s="36" t="s">
        <v>166</v>
      </c>
      <c r="E2" s="10"/>
      <c r="F2" s="10"/>
      <c r="G2" s="10"/>
      <c r="H2" s="10"/>
      <c r="I2" s="10"/>
      <c r="J2" s="44" t="s">
        <v>167</v>
      </c>
      <c r="K2" s="44" t="s">
        <v>168</v>
      </c>
    </row>
    <row r="3">
      <c r="A3" s="45" t="s">
        <v>169</v>
      </c>
      <c r="B3" s="45" t="s">
        <v>170</v>
      </c>
      <c r="C3" s="45" t="s">
        <v>171</v>
      </c>
      <c r="D3" s="45" t="s">
        <v>172</v>
      </c>
      <c r="E3" s="45" t="s">
        <v>173</v>
      </c>
      <c r="F3" s="45">
        <v>2.0</v>
      </c>
      <c r="G3" s="46" t="s">
        <v>151</v>
      </c>
      <c r="H3" s="47" t="s">
        <v>152</v>
      </c>
      <c r="I3" s="48">
        <v>0.0</v>
      </c>
      <c r="J3" s="49">
        <v>1.0</v>
      </c>
      <c r="K3" s="49" t="s">
        <v>174</v>
      </c>
    </row>
    <row r="4">
      <c r="A4" s="45" t="s">
        <v>175</v>
      </c>
      <c r="B4" s="45" t="s">
        <v>176</v>
      </c>
      <c r="C4" s="45" t="s">
        <v>177</v>
      </c>
      <c r="D4" s="45" t="s">
        <v>178</v>
      </c>
      <c r="E4" s="45" t="s">
        <v>179</v>
      </c>
      <c r="F4" s="45">
        <v>2.0</v>
      </c>
      <c r="G4" s="46" t="s">
        <v>151</v>
      </c>
      <c r="H4" s="47" t="s">
        <v>152</v>
      </c>
      <c r="I4" s="20"/>
      <c r="J4" s="49">
        <v>1.0</v>
      </c>
      <c r="K4" s="49" t="s">
        <v>174</v>
      </c>
    </row>
    <row r="5">
      <c r="A5" s="45" t="s">
        <v>180</v>
      </c>
      <c r="B5" s="45" t="s">
        <v>181</v>
      </c>
      <c r="C5" s="45" t="s">
        <v>182</v>
      </c>
      <c r="D5" s="45" t="s">
        <v>183</v>
      </c>
      <c r="E5" s="45" t="s">
        <v>184</v>
      </c>
      <c r="F5" s="45">
        <v>2.0</v>
      </c>
      <c r="G5" s="46" t="s">
        <v>151</v>
      </c>
      <c r="H5" s="47" t="s">
        <v>152</v>
      </c>
      <c r="I5" s="10"/>
      <c r="J5" s="49">
        <v>1.0</v>
      </c>
      <c r="K5" s="49" t="s">
        <v>174</v>
      </c>
    </row>
    <row r="10">
      <c r="D10" s="50"/>
    </row>
  </sheetData>
  <mergeCells count="10">
    <mergeCell ref="I1:I2"/>
    <mergeCell ref="J1:K1"/>
    <mergeCell ref="I3:I5"/>
    <mergeCell ref="A1:A2"/>
    <mergeCell ref="B1:B2"/>
    <mergeCell ref="C1:D1"/>
    <mergeCell ref="E1:E2"/>
    <mergeCell ref="F1:F2"/>
    <mergeCell ref="G1:G2"/>
    <mergeCell ref="H1:H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2026-02-23T07:17:05Z</dcterms:created>
  <dc:creator>Edbert Falentina</dc:creator>
</cp:coreProperties>
</file>